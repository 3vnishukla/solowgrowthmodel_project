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<sst xmlns="http://schemas.openxmlformats.org/spreadsheetml/2006/main" count="175" uniqueCount="19">
  <si>
    <t>STATE</t>
  </si>
  <si>
    <t>YEAR</t>
  </si>
  <si>
    <t>NSDP Per Capita</t>
  </si>
  <si>
    <t>Telephone</t>
  </si>
  <si>
    <t>State-wise Credit-Deposit Ratio of Scheduled Commercial Banks - According to Place of Sanction</t>
  </si>
  <si>
    <t>STATE-WISE AVAILABILITY OF POWER net crore units</t>
  </si>
  <si>
    <t>HDI</t>
  </si>
  <si>
    <t>Assam</t>
  </si>
  <si>
    <t>Gujarat</t>
  </si>
  <si>
    <t>Himachal Pradesh</t>
  </si>
  <si>
    <t>Karnataka</t>
  </si>
  <si>
    <t>Kerala</t>
  </si>
  <si>
    <t>Madhya Pradesh</t>
  </si>
  <si>
    <t>Maharashtra</t>
  </si>
  <si>
    <t>Odisha</t>
  </si>
  <si>
    <t>Punjab</t>
  </si>
  <si>
    <t>Tamil Nadu</t>
  </si>
  <si>
    <t>Uttar Pradesh</t>
  </si>
  <si>
    <t>West Bengal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</si>
</sst>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bottom" wrapText="0"/>
    </xf>
    <xf borderId="0" fillId="2" fontId="5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2" fontId="8" numFmtId="0" xfId="0" applyAlignment="1" applyFont="1">
      <alignment horizontal="center" readingOrder="0"/>
    </xf>
    <xf borderId="0" fillId="2" fontId="8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9.38"/>
    <col customWidth="1" min="3" max="3" width="16.5"/>
    <col customWidth="1" min="5" max="5" width="26.5"/>
    <col customWidth="1" min="6" max="6" width="32.25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ht="22.5" customHeight="1">
      <c r="A2" s="5" t="s">
        <v>7</v>
      </c>
      <c r="B2" s="5">
        <f t="array" ref="B2:B15">SEQUENCE(14,1,2011,1)</f>
        <v>2011</v>
      </c>
      <c r="C2" s="6">
        <v>37846.33</v>
      </c>
      <c r="D2" s="7">
        <v>39.0</v>
      </c>
      <c r="E2" s="5">
        <v>36.5</v>
      </c>
      <c r="F2" s="5">
        <v>506.0</v>
      </c>
      <c r="G2" s="8">
        <v>0.646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5" t="s">
        <v>7</v>
      </c>
      <c r="B3" s="5">
        <v>2012.0</v>
      </c>
      <c r="C3" s="6">
        <v>41142.0</v>
      </c>
      <c r="D3" s="5">
        <v>46.6</v>
      </c>
      <c r="E3" s="5">
        <v>37.7</v>
      </c>
      <c r="F3" s="5">
        <v>570.0</v>
      </c>
      <c r="G3" s="9">
        <v>0.652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5" t="s">
        <v>7</v>
      </c>
      <c r="B4" s="5">
        <v>2013.0</v>
      </c>
      <c r="C4" s="6">
        <v>41609.0</v>
      </c>
      <c r="D4" s="5">
        <v>46.51</v>
      </c>
      <c r="E4" s="5">
        <v>37.2</v>
      </c>
      <c r="F4" s="5">
        <v>605.0</v>
      </c>
      <c r="G4" s="8">
        <v>0.651</v>
      </c>
      <c r="H4" s="4"/>
    </row>
    <row r="5">
      <c r="A5" s="5" t="s">
        <v>7</v>
      </c>
      <c r="B5" s="5">
        <v>2014.0</v>
      </c>
      <c r="C5" s="6">
        <v>43002.0</v>
      </c>
      <c r="D5" s="7">
        <v>48.74</v>
      </c>
      <c r="E5" s="5">
        <v>37.7</v>
      </c>
      <c r="F5" s="5">
        <v>706.0</v>
      </c>
      <c r="G5" s="8">
        <v>0.657</v>
      </c>
      <c r="H5" s="4"/>
    </row>
    <row r="6">
      <c r="A6" s="5" t="s">
        <v>7</v>
      </c>
      <c r="B6" s="5">
        <v>2015.0</v>
      </c>
      <c r="C6" s="6">
        <v>44809.0</v>
      </c>
      <c r="D6" s="5">
        <v>53.95</v>
      </c>
      <c r="E6" s="10">
        <v>36.7</v>
      </c>
      <c r="F6" s="5">
        <v>793.0</v>
      </c>
      <c r="G6" s="8">
        <v>0.658</v>
      </c>
      <c r="H6" s="4"/>
    </row>
    <row r="7">
      <c r="A7" s="5" t="s">
        <v>7</v>
      </c>
      <c r="B7" s="5">
        <v>2016.0</v>
      </c>
      <c r="C7" s="6">
        <v>50642.0</v>
      </c>
      <c r="D7" s="5">
        <v>57.64</v>
      </c>
      <c r="E7" s="10">
        <v>42.2</v>
      </c>
      <c r="F7" s="5">
        <v>827.0</v>
      </c>
      <c r="G7" s="8">
        <v>0.666</v>
      </c>
      <c r="H7" s="4"/>
    </row>
    <row r="8">
      <c r="A8" s="5" t="s">
        <v>7</v>
      </c>
      <c r="B8" s="5">
        <v>2017.0</v>
      </c>
      <c r="C8" s="6">
        <v>53575.0</v>
      </c>
      <c r="D8" s="5">
        <v>66.97</v>
      </c>
      <c r="E8" s="10">
        <v>40.3</v>
      </c>
      <c r="F8" s="5">
        <v>869.0</v>
      </c>
      <c r="G8" s="8">
        <v>0.669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5" t="s">
        <v>7</v>
      </c>
      <c r="B9" s="5">
        <v>2018.0</v>
      </c>
      <c r="C9" s="6">
        <v>57835.0</v>
      </c>
      <c r="D9" s="5">
        <v>76.87</v>
      </c>
      <c r="E9" s="10">
        <v>42.6</v>
      </c>
      <c r="F9" s="5">
        <v>878.0</v>
      </c>
      <c r="G9" s="8">
        <v>0.661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A10" s="5" t="s">
        <v>7</v>
      </c>
      <c r="B10" s="5">
        <v>2019.0</v>
      </c>
      <c r="C10" s="6">
        <v>59943.0</v>
      </c>
      <c r="D10" s="5">
        <v>68.81</v>
      </c>
      <c r="E10" s="10">
        <v>44.3</v>
      </c>
      <c r="F10" s="5">
        <v>924.0</v>
      </c>
      <c r="G10" s="8">
        <v>0.664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5" t="s">
        <v>7</v>
      </c>
      <c r="B11" s="5">
        <v>2020.0</v>
      </c>
      <c r="C11" s="6">
        <v>61519.0</v>
      </c>
      <c r="D11" s="5">
        <v>70.01</v>
      </c>
      <c r="E11" s="10">
        <v>43.0</v>
      </c>
      <c r="F11" s="5">
        <v>929.0</v>
      </c>
      <c r="G11" s="8">
        <v>0.665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5" t="s">
        <v>7</v>
      </c>
      <c r="B12" s="5">
        <v>2021.0</v>
      </c>
      <c r="C12" s="6">
        <v>62944.0</v>
      </c>
      <c r="D12" s="5">
        <v>70.86</v>
      </c>
      <c r="E12" s="10">
        <v>46.7</v>
      </c>
      <c r="F12" s="5">
        <v>982.0</v>
      </c>
      <c r="G12" s="8">
        <v>0.661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>
      <c r="A13" s="5" t="s">
        <v>7</v>
      </c>
      <c r="B13" s="5">
        <v>2022.0</v>
      </c>
      <c r="C13" s="6">
        <v>63657.0</v>
      </c>
      <c r="D13" s="5">
        <v>68.5</v>
      </c>
      <c r="E13" s="10">
        <v>48.9</v>
      </c>
      <c r="F13" s="5">
        <v>1083.0</v>
      </c>
      <c r="G13" s="8">
        <v>0.694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5" t="s">
        <v>7</v>
      </c>
      <c r="B14" s="5">
        <v>2023.0</v>
      </c>
      <c r="C14" s="6">
        <v>71551.0</v>
      </c>
      <c r="D14" s="5">
        <v>70.73</v>
      </c>
      <c r="E14" s="10">
        <v>52.0</v>
      </c>
      <c r="F14" s="5">
        <v>1147.0</v>
      </c>
      <c r="G14" s="8">
        <v>0.699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5" t="s">
        <v>7</v>
      </c>
      <c r="B15" s="5">
        <v>2024.0</v>
      </c>
      <c r="C15" s="6">
        <v>80089.0</v>
      </c>
      <c r="D15" s="5">
        <v>74.02</v>
      </c>
      <c r="E15" s="10">
        <v>58.0</v>
      </c>
      <c r="F15" s="5">
        <v>1234.0</v>
      </c>
      <c r="G15" s="5">
        <v>0.689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A16" s="5" t="s">
        <v>8</v>
      </c>
      <c r="B16" s="5">
        <f t="array" ref="B16:B29">SEQUENCE(14,1,2011,1)</f>
        <v>2011</v>
      </c>
      <c r="C16" s="6">
        <v>85597.34</v>
      </c>
      <c r="D16" s="5">
        <v>81.9</v>
      </c>
      <c r="E16" s="10">
        <v>66.2</v>
      </c>
      <c r="F16" s="5">
        <v>6753.0</v>
      </c>
      <c r="G16" s="8">
        <v>0.687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5" t="s">
        <v>8</v>
      </c>
      <c r="B17" s="5">
        <v>2012.0</v>
      </c>
      <c r="C17" s="6">
        <v>87481.0</v>
      </c>
      <c r="D17" s="5">
        <v>91.1</v>
      </c>
      <c r="E17" s="10">
        <v>70.4</v>
      </c>
      <c r="F17" s="5">
        <v>7443.0</v>
      </c>
      <c r="G17" s="8">
        <v>0.69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5" t="s">
        <v>8</v>
      </c>
      <c r="B18" s="5">
        <v>2013.0</v>
      </c>
      <c r="C18" s="6">
        <v>96683.0</v>
      </c>
      <c r="D18" s="5">
        <v>87.23</v>
      </c>
      <c r="E18" s="10">
        <v>72.8</v>
      </c>
      <c r="F18" s="5">
        <v>9351.0</v>
      </c>
      <c r="G18" s="8">
        <v>0.696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5" t="s">
        <v>8</v>
      </c>
      <c r="B19" s="5">
        <v>2014.0</v>
      </c>
      <c r="C19" s="6">
        <v>102589.0</v>
      </c>
      <c r="D19" s="5">
        <v>90.54</v>
      </c>
      <c r="E19" s="10">
        <v>74.7</v>
      </c>
      <c r="F19" s="5">
        <v>8849.0</v>
      </c>
      <c r="G19" s="8">
        <v>0.71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5" t="s">
        <v>8</v>
      </c>
      <c r="B20" s="5">
        <v>2015.0</v>
      </c>
      <c r="C20" s="6">
        <v>111370.0</v>
      </c>
      <c r="D20" s="5">
        <v>95.61</v>
      </c>
      <c r="E20" s="10">
        <v>72.7</v>
      </c>
      <c r="F20" s="5">
        <v>9621.0</v>
      </c>
      <c r="G20" s="8">
        <v>0.718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>
      <c r="A21" s="5" t="s">
        <v>8</v>
      </c>
      <c r="B21" s="5">
        <v>2016.0</v>
      </c>
      <c r="C21" s="6">
        <v>120683.0</v>
      </c>
      <c r="D21" s="5">
        <v>100.06</v>
      </c>
      <c r="E21" s="10">
        <v>75.4</v>
      </c>
      <c r="F21" s="5">
        <v>10354.0</v>
      </c>
      <c r="G21" s="8">
        <v>0.733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>
      <c r="A22" s="5" t="s">
        <v>8</v>
      </c>
      <c r="B22" s="5">
        <v>2017.0</v>
      </c>
      <c r="C22" s="6">
        <v>129738.0</v>
      </c>
      <c r="D22" s="5">
        <v>113.71</v>
      </c>
      <c r="E22" s="10">
        <v>68.9</v>
      </c>
      <c r="F22" s="5">
        <v>10371.0</v>
      </c>
      <c r="G22" s="8">
        <v>0.725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>
      <c r="A23" s="5" t="s">
        <v>8</v>
      </c>
      <c r="B23" s="5">
        <v>2018.0</v>
      </c>
      <c r="C23" s="6">
        <v>143604.0</v>
      </c>
      <c r="D23" s="5">
        <v>112.45</v>
      </c>
      <c r="E23" s="10">
        <v>75.6</v>
      </c>
      <c r="F23" s="5">
        <v>10997.0</v>
      </c>
      <c r="G23" s="8">
        <v>0.707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>
      <c r="A24" s="5" t="s">
        <v>8</v>
      </c>
      <c r="B24" s="5">
        <v>2019.0</v>
      </c>
      <c r="C24" s="6">
        <v>154887.0</v>
      </c>
      <c r="D24" s="5">
        <v>107.21</v>
      </c>
      <c r="E24" s="10">
        <v>78.8</v>
      </c>
      <c r="F24" s="5">
        <v>11636.0</v>
      </c>
      <c r="G24" s="8">
        <v>0.7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>
      <c r="A25" s="5" t="s">
        <v>8</v>
      </c>
      <c r="B25" s="5">
        <v>2020.0</v>
      </c>
      <c r="C25" s="6">
        <v>164060.0</v>
      </c>
      <c r="D25" s="5">
        <v>103.51</v>
      </c>
      <c r="E25" s="10">
        <v>74.8</v>
      </c>
      <c r="F25" s="5">
        <v>11394.0</v>
      </c>
      <c r="G25" s="8">
        <v>0.701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>
      <c r="A26" s="5" t="s">
        <v>8</v>
      </c>
      <c r="B26" s="5">
        <v>2021.0</v>
      </c>
      <c r="C26" s="6">
        <v>156285.0</v>
      </c>
      <c r="D26" s="5">
        <v>99.08</v>
      </c>
      <c r="E26" s="10">
        <v>69.9</v>
      </c>
      <c r="F26" s="5">
        <v>11162.0</v>
      </c>
      <c r="G26" s="8">
        <v>0.697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>
      <c r="A27" s="5" t="s">
        <v>8</v>
      </c>
      <c r="B27" s="5">
        <v>2022.0</v>
      </c>
      <c r="C27" s="6">
        <v>170519.0</v>
      </c>
      <c r="D27" s="5">
        <v>95.08</v>
      </c>
      <c r="E27" s="10">
        <v>69.9</v>
      </c>
      <c r="F27" s="5">
        <v>12367.0</v>
      </c>
      <c r="G27" s="8">
        <v>0.732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>
      <c r="A28" s="5" t="s">
        <v>8</v>
      </c>
      <c r="B28" s="5">
        <v>2023.0</v>
      </c>
      <c r="C28" s="6">
        <v>181963.0</v>
      </c>
      <c r="D28" s="5">
        <v>92.58</v>
      </c>
      <c r="E28" s="10">
        <v>71.5</v>
      </c>
      <c r="F28" s="5">
        <v>13900.0</v>
      </c>
      <c r="G28" s="8">
        <v>0.737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>
      <c r="A29" s="5" t="s">
        <v>8</v>
      </c>
      <c r="B29" s="5">
        <v>2024.0</v>
      </c>
      <c r="C29" s="6">
        <v>202064.6</v>
      </c>
      <c r="D29" s="5">
        <v>91.53</v>
      </c>
      <c r="E29" s="10">
        <v>74.4</v>
      </c>
      <c r="F29" s="5">
        <v>14574.0</v>
      </c>
      <c r="G29" s="9">
        <v>0.729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>
      <c r="A30" s="5" t="s">
        <v>9</v>
      </c>
      <c r="B30" s="5">
        <f t="array" ref="B30:B43">SEQUENCE(14,1,2011,1)</f>
        <v>2011</v>
      </c>
      <c r="C30" s="6">
        <v>88299.67</v>
      </c>
      <c r="D30" s="5">
        <v>111.1</v>
      </c>
      <c r="E30" s="10">
        <v>41.6</v>
      </c>
      <c r="F30" s="5">
        <v>736.0</v>
      </c>
      <c r="G30" s="8">
        <v>0.75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>
      <c r="A31" s="5" t="s">
        <v>9</v>
      </c>
      <c r="B31" s="5">
        <v>2012.0</v>
      </c>
      <c r="C31" s="6">
        <v>87721.0</v>
      </c>
      <c r="D31" s="5">
        <v>120.7</v>
      </c>
      <c r="E31" s="10">
        <v>38.9</v>
      </c>
      <c r="F31" s="5">
        <v>811.0</v>
      </c>
      <c r="G31" s="8">
        <v>0.749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>
      <c r="A32" s="5" t="s">
        <v>9</v>
      </c>
      <c r="B32" s="5">
        <v>2013.0</v>
      </c>
      <c r="C32" s="6">
        <v>92672.0</v>
      </c>
      <c r="D32" s="5">
        <v>105.39</v>
      </c>
      <c r="E32" s="10">
        <v>35.1</v>
      </c>
      <c r="F32" s="5">
        <v>874.0</v>
      </c>
      <c r="G32" s="8">
        <v>0.755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>
      <c r="A33" s="5" t="s">
        <v>9</v>
      </c>
      <c r="B33" s="5">
        <v>2014.0</v>
      </c>
      <c r="C33" s="6">
        <v>98816.0</v>
      </c>
      <c r="D33" s="5">
        <v>105.59</v>
      </c>
      <c r="E33" s="10">
        <v>35.8</v>
      </c>
      <c r="F33" s="5">
        <v>888.0</v>
      </c>
      <c r="G33" s="8">
        <v>0.769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>
      <c r="A34" s="5" t="s">
        <v>9</v>
      </c>
      <c r="B34" s="5">
        <v>2015.0</v>
      </c>
      <c r="C34" s="6">
        <v>105241.0</v>
      </c>
      <c r="D34" s="5">
        <v>114.52</v>
      </c>
      <c r="E34" s="10">
        <v>35.3</v>
      </c>
      <c r="F34" s="5">
        <v>873.0</v>
      </c>
      <c r="G34" s="8">
        <v>0.776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>
      <c r="A35" s="5" t="s">
        <v>9</v>
      </c>
      <c r="B35" s="5">
        <v>2016.0</v>
      </c>
      <c r="C35" s="6">
        <v>112723.0</v>
      </c>
      <c r="D35" s="5">
        <v>127.61</v>
      </c>
      <c r="E35" s="10">
        <v>32.9</v>
      </c>
      <c r="F35" s="5">
        <v>876.0</v>
      </c>
      <c r="G35" s="8">
        <v>0.79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>
      <c r="A36" s="5" t="s">
        <v>9</v>
      </c>
      <c r="B36" s="5">
        <v>2017.0</v>
      </c>
      <c r="C36" s="6">
        <v>122208.0</v>
      </c>
      <c r="D36" s="5">
        <v>147.86</v>
      </c>
      <c r="E36" s="10">
        <v>29.7</v>
      </c>
      <c r="F36" s="5">
        <v>878.0</v>
      </c>
      <c r="G36" s="8">
        <v>0.789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>
      <c r="A37" s="5" t="s">
        <v>9</v>
      </c>
      <c r="B37" s="5">
        <v>2018.0</v>
      </c>
      <c r="C37" s="6">
        <v>129303.0</v>
      </c>
      <c r="D37" s="5">
        <v>174.46</v>
      </c>
      <c r="E37" s="10">
        <v>31.1</v>
      </c>
      <c r="F37" s="5">
        <v>95.0</v>
      </c>
      <c r="G37" s="8">
        <v>0.776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>
      <c r="A38" s="5" t="s">
        <v>9</v>
      </c>
      <c r="B38" s="5">
        <v>2019.0</v>
      </c>
      <c r="C38" s="6">
        <v>136292.0</v>
      </c>
      <c r="D38" s="5">
        <v>146.37</v>
      </c>
      <c r="E38" s="10">
        <v>30.8</v>
      </c>
      <c r="F38" s="5">
        <v>962.0</v>
      </c>
      <c r="G38" s="8">
        <v>0.775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>
      <c r="A39" s="5" t="s">
        <v>9</v>
      </c>
      <c r="B39" s="5">
        <v>2020.0</v>
      </c>
      <c r="C39" s="6">
        <v>140999.0</v>
      </c>
      <c r="D39" s="5">
        <v>148.85</v>
      </c>
      <c r="E39" s="10">
        <v>30.2</v>
      </c>
      <c r="F39" s="5">
        <v>1035.0</v>
      </c>
      <c r="G39" s="8">
        <v>0.776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>
      <c r="A40" s="5" t="s">
        <v>9</v>
      </c>
      <c r="B40" s="5">
        <v>2021.0</v>
      </c>
      <c r="C40" s="6">
        <v>132015.0</v>
      </c>
      <c r="D40" s="5">
        <v>152.5</v>
      </c>
      <c r="E40" s="10">
        <v>30.9</v>
      </c>
      <c r="F40" s="5">
        <v>1013.0</v>
      </c>
      <c r="G40" s="8">
        <v>0.772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>
      <c r="A41" s="5" t="s">
        <v>9</v>
      </c>
      <c r="B41" s="5">
        <v>2022.0</v>
      </c>
      <c r="C41" s="6">
        <v>137010.0</v>
      </c>
      <c r="D41" s="5">
        <v>138.44</v>
      </c>
      <c r="E41" s="10">
        <v>32.0</v>
      </c>
      <c r="F41" s="5">
        <v>1209.0</v>
      </c>
      <c r="G41" s="8">
        <v>0.81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>
      <c r="A42" s="5" t="s">
        <v>9</v>
      </c>
      <c r="B42" s="5">
        <v>2023.0</v>
      </c>
      <c r="C42" s="6">
        <v>144824.0</v>
      </c>
      <c r="D42" s="5">
        <v>119.69</v>
      </c>
      <c r="E42" s="10">
        <v>33.2</v>
      </c>
      <c r="F42" s="5">
        <v>1254.0</v>
      </c>
      <c r="G42" s="8">
        <v>0.815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>
      <c r="A43" s="5" t="s">
        <v>9</v>
      </c>
      <c r="B43" s="5">
        <v>2024.0</v>
      </c>
      <c r="C43" s="6">
        <v>153887.0</v>
      </c>
      <c r="D43" s="5">
        <v>119.43</v>
      </c>
      <c r="E43" s="10">
        <v>35.7</v>
      </c>
      <c r="F43" s="5">
        <v>1277.0</v>
      </c>
      <c r="G43" s="5">
        <v>0.8066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>
      <c r="A44" s="5" t="s">
        <v>10</v>
      </c>
      <c r="B44" s="5">
        <f t="array" ref="B44:B57">SEQUENCE(14,1,2011,1)</f>
        <v>2011</v>
      </c>
      <c r="C44" s="6">
        <v>85277.94</v>
      </c>
      <c r="D44" s="5">
        <v>87.8</v>
      </c>
      <c r="E44" s="10">
        <v>72.7</v>
      </c>
      <c r="F44" s="5">
        <v>4662.0</v>
      </c>
      <c r="G44" s="8">
        <v>0.684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>
      <c r="A45" s="5" t="s">
        <v>10</v>
      </c>
      <c r="B45" s="5">
        <v>2012.0</v>
      </c>
      <c r="C45" s="6">
        <v>90263.0</v>
      </c>
      <c r="D45" s="5">
        <v>97.2</v>
      </c>
      <c r="E45" s="10">
        <v>71.4</v>
      </c>
      <c r="F45" s="5">
        <v>5402.0</v>
      </c>
      <c r="G45" s="8">
        <v>0.689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>
      <c r="A46" s="5" t="s">
        <v>10</v>
      </c>
      <c r="B46" s="5">
        <v>2013.0</v>
      </c>
      <c r="C46" s="6">
        <v>94375.0</v>
      </c>
      <c r="D46" s="5">
        <v>91.24</v>
      </c>
      <c r="E46" s="10">
        <v>71.9</v>
      </c>
      <c r="F46" s="5">
        <v>5704.0</v>
      </c>
      <c r="G46" s="8">
        <v>0.698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>
      <c r="A47" s="5" t="s">
        <v>10</v>
      </c>
      <c r="B47" s="5">
        <v>2014.0</v>
      </c>
      <c r="C47" s="6">
        <v>101858.0</v>
      </c>
      <c r="D47" s="5">
        <v>92.45</v>
      </c>
      <c r="E47" s="10">
        <v>71.0</v>
      </c>
      <c r="F47" s="5">
        <v>5805.0</v>
      </c>
      <c r="G47" s="8">
        <v>0.713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>
      <c r="A48" s="5" t="s">
        <v>10</v>
      </c>
      <c r="B48" s="5">
        <v>2015.0</v>
      </c>
      <c r="C48" s="6">
        <v>105697.0</v>
      </c>
      <c r="D48" s="5">
        <v>97.54</v>
      </c>
      <c r="E48" s="10">
        <v>67.7</v>
      </c>
      <c r="F48" s="5">
        <v>5993.0</v>
      </c>
      <c r="G48" s="8">
        <v>0.724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>
      <c r="A49" s="5" t="s">
        <v>10</v>
      </c>
      <c r="B49" s="5">
        <v>2016.0</v>
      </c>
      <c r="C49" s="6">
        <v>116812.0</v>
      </c>
      <c r="D49" s="5">
        <v>101.89</v>
      </c>
      <c r="E49" s="10">
        <v>70.1</v>
      </c>
      <c r="F49" s="5">
        <v>6097.0</v>
      </c>
      <c r="G49" s="8">
        <v>0.742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>
      <c r="A50" s="5" t="s">
        <v>10</v>
      </c>
      <c r="B50" s="5">
        <v>2017.0</v>
      </c>
      <c r="C50" s="6">
        <v>131186.0</v>
      </c>
      <c r="D50" s="5">
        <v>113.39</v>
      </c>
      <c r="E50" s="10">
        <v>67.0</v>
      </c>
      <c r="F50" s="5">
        <v>6657.0</v>
      </c>
      <c r="G50" s="8">
        <v>0.74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>
      <c r="A51" s="5" t="s">
        <v>10</v>
      </c>
      <c r="B51" s="5">
        <v>2018.0</v>
      </c>
      <c r="C51" s="6">
        <v>140747.0</v>
      </c>
      <c r="D51" s="5">
        <v>109.05</v>
      </c>
      <c r="E51" s="10">
        <v>69.7</v>
      </c>
      <c r="F51" s="5">
        <v>6770.0</v>
      </c>
      <c r="G51" s="8">
        <v>0.728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>
      <c r="A52" s="5" t="s">
        <v>10</v>
      </c>
      <c r="B52" s="5">
        <v>2019.0</v>
      </c>
      <c r="C52" s="6">
        <v>149024.0</v>
      </c>
      <c r="D52" s="5">
        <v>110.04</v>
      </c>
      <c r="E52" s="10">
        <v>69.7</v>
      </c>
      <c r="F52" s="5">
        <v>7170.0</v>
      </c>
      <c r="G52" s="8">
        <v>0.727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>
      <c r="A53" s="5" t="s">
        <v>10</v>
      </c>
      <c r="B53" s="5">
        <v>2020.0</v>
      </c>
      <c r="C53" s="6">
        <v>156478.0</v>
      </c>
      <c r="D53" s="5">
        <v>108.19</v>
      </c>
      <c r="E53" s="10">
        <v>65.2</v>
      </c>
      <c r="F53" s="5">
        <v>7280.0</v>
      </c>
      <c r="G53" s="8">
        <v>0.728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>
      <c r="A54" s="5" t="s">
        <v>10</v>
      </c>
      <c r="B54" s="5">
        <v>2021.0</v>
      </c>
      <c r="C54" s="6">
        <v>149578.0</v>
      </c>
      <c r="D54" s="5">
        <v>105.85</v>
      </c>
      <c r="E54" s="10">
        <v>59.8</v>
      </c>
      <c r="F54" s="5">
        <v>6883.0</v>
      </c>
      <c r="G54" s="8">
        <v>0.724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>
      <c r="A55" s="5" t="s">
        <v>10</v>
      </c>
      <c r="B55" s="5">
        <v>2022.0</v>
      </c>
      <c r="C55" s="6">
        <v>165517.0</v>
      </c>
      <c r="D55" s="5">
        <v>100.1</v>
      </c>
      <c r="E55" s="10">
        <v>60.5</v>
      </c>
      <c r="F55" s="5">
        <v>7242.0</v>
      </c>
      <c r="G55" s="8">
        <v>0.759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>
      <c r="A56" s="5" t="s">
        <v>10</v>
      </c>
      <c r="B56" s="5">
        <v>2023.0</v>
      </c>
      <c r="C56" s="6">
        <v>182371.0</v>
      </c>
      <c r="D56" s="5">
        <v>101.91</v>
      </c>
      <c r="E56" s="10">
        <v>64.5</v>
      </c>
      <c r="F56" s="5">
        <v>7566.0</v>
      </c>
      <c r="G56" s="8">
        <v>0.764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>
      <c r="A57" s="5" t="s">
        <v>10</v>
      </c>
      <c r="B57" s="5">
        <v>2024.0</v>
      </c>
      <c r="C57" s="6">
        <v>191970.0</v>
      </c>
      <c r="D57" s="5">
        <v>103.2</v>
      </c>
      <c r="E57" s="10">
        <v>69.0</v>
      </c>
      <c r="F57" s="5">
        <v>9393.0</v>
      </c>
      <c r="G57" s="5">
        <v>0.758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>
      <c r="A58" s="5" t="s">
        <v>11</v>
      </c>
      <c r="B58" s="5">
        <f t="array" ref="B58:B71">SEQUENCE(14,1,2011,1)</f>
        <v>2011</v>
      </c>
      <c r="C58" s="6">
        <v>97163.14</v>
      </c>
      <c r="D58" s="5">
        <v>100.0</v>
      </c>
      <c r="E58" s="10">
        <v>73.1</v>
      </c>
      <c r="F58" s="5">
        <v>1777.0</v>
      </c>
      <c r="G58" s="8">
        <v>0.811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>
      <c r="A59" s="5" t="s">
        <v>11</v>
      </c>
      <c r="B59" s="5">
        <v>2012.0</v>
      </c>
      <c r="C59" s="6">
        <v>97912.0</v>
      </c>
      <c r="D59" s="5">
        <v>106.6</v>
      </c>
      <c r="E59" s="10">
        <v>76.4</v>
      </c>
      <c r="F59" s="5">
        <v>1947.0</v>
      </c>
      <c r="G59" s="8">
        <v>0.812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>
      <c r="A60" s="5" t="s">
        <v>11</v>
      </c>
      <c r="B60" s="5">
        <v>2013.0</v>
      </c>
      <c r="C60" s="6">
        <v>103551.0</v>
      </c>
      <c r="D60" s="5">
        <v>96.09</v>
      </c>
      <c r="E60" s="10">
        <v>73.1</v>
      </c>
      <c r="F60" s="5">
        <v>2039.0</v>
      </c>
      <c r="G60" s="8">
        <v>0.817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>
      <c r="A61" s="5" t="s">
        <v>11</v>
      </c>
      <c r="B61" s="5">
        <v>2014.0</v>
      </c>
      <c r="C61" s="6">
        <v>107846.0</v>
      </c>
      <c r="D61" s="5">
        <v>96.19</v>
      </c>
      <c r="E61" s="10">
        <v>67.7</v>
      </c>
      <c r="F61" s="5">
        <v>2105.0</v>
      </c>
      <c r="G61" s="8">
        <v>0.826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>
      <c r="A62" s="5" t="s">
        <v>11</v>
      </c>
      <c r="B62" s="5">
        <v>2015.0</v>
      </c>
      <c r="C62" s="6">
        <v>112444.0</v>
      </c>
      <c r="D62" s="5">
        <v>95.41</v>
      </c>
      <c r="E62" s="10">
        <v>64.6</v>
      </c>
      <c r="F62" s="5">
        <v>2213.0</v>
      </c>
      <c r="G62" s="8">
        <v>0.833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>
      <c r="A63" s="5" t="s">
        <v>11</v>
      </c>
      <c r="B63" s="5">
        <v>2016.0</v>
      </c>
      <c r="C63" s="6">
        <v>120387.0</v>
      </c>
      <c r="D63" s="5">
        <v>102.33</v>
      </c>
      <c r="E63" s="10">
        <v>62.1</v>
      </c>
      <c r="F63" s="5">
        <v>2319.0</v>
      </c>
      <c r="G63" s="8">
        <v>0.843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>
      <c r="A64" s="5" t="s">
        <v>11</v>
      </c>
      <c r="B64" s="5">
        <v>2017.0</v>
      </c>
      <c r="C64" s="6">
        <v>129251.0</v>
      </c>
      <c r="D64" s="5">
        <v>114.75</v>
      </c>
      <c r="E64" s="10">
        <v>59.8</v>
      </c>
      <c r="F64" s="5">
        <v>2426.0</v>
      </c>
      <c r="G64" s="8">
        <v>0.842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>
      <c r="A65" s="5" t="s">
        <v>11</v>
      </c>
      <c r="B65" s="5">
        <v>2018.0</v>
      </c>
      <c r="C65" s="6">
        <v>137181.0</v>
      </c>
      <c r="D65" s="5">
        <v>121.61</v>
      </c>
      <c r="E65" s="10">
        <v>63.8</v>
      </c>
      <c r="F65" s="5">
        <v>2492.0</v>
      </c>
      <c r="G65" s="8">
        <v>0.83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>
      <c r="A66" s="5" t="s">
        <v>11</v>
      </c>
      <c r="B66" s="5">
        <v>2019.0</v>
      </c>
      <c r="C66" s="6">
        <v>147347.0</v>
      </c>
      <c r="D66" s="5">
        <v>126.15</v>
      </c>
      <c r="E66" s="10">
        <v>65.9</v>
      </c>
      <c r="F66" s="5">
        <v>2490.0</v>
      </c>
      <c r="G66" s="8">
        <v>0.823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>
      <c r="A67" s="5" t="s">
        <v>11</v>
      </c>
      <c r="B67" s="5">
        <v>2020.0</v>
      </c>
      <c r="C67" s="6">
        <v>147951.0</v>
      </c>
      <c r="D67" s="5">
        <v>123.19</v>
      </c>
      <c r="E67" s="10">
        <v>65.0</v>
      </c>
      <c r="F67" s="5">
        <v>2627.0</v>
      </c>
      <c r="G67" s="8">
        <v>0.824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>
      <c r="A68" s="5" t="s">
        <v>11</v>
      </c>
      <c r="B68" s="5">
        <v>2021.0</v>
      </c>
      <c r="C68" s="6">
        <v>132531.0</v>
      </c>
      <c r="D68" s="5">
        <v>129.45</v>
      </c>
      <c r="E68" s="10">
        <v>62.3</v>
      </c>
      <c r="F68" s="5">
        <v>2510.0</v>
      </c>
      <c r="G68" s="8">
        <v>0.82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>
      <c r="A69" s="5" t="s">
        <v>11</v>
      </c>
      <c r="B69" s="5">
        <v>2022.0</v>
      </c>
      <c r="C69" s="6">
        <v>147376.0</v>
      </c>
      <c r="D69" s="5">
        <v>125.15</v>
      </c>
      <c r="E69" s="10">
        <v>61.7</v>
      </c>
      <c r="F69" s="5">
        <v>2675.0</v>
      </c>
      <c r="G69" s="8">
        <v>0.855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>
      <c r="A70" s="5" t="s">
        <v>11</v>
      </c>
      <c r="B70" s="5">
        <v>2023.0</v>
      </c>
      <c r="C70" s="6">
        <v>155299.0</v>
      </c>
      <c r="D70" s="5">
        <v>122.13</v>
      </c>
      <c r="E70" s="10">
        <v>65.8</v>
      </c>
      <c r="F70" s="5">
        <v>2773.0</v>
      </c>
      <c r="G70" s="8">
        <v>0.86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>
      <c r="A71" s="5" t="s">
        <v>11</v>
      </c>
      <c r="B71" s="5">
        <v>2024.0</v>
      </c>
      <c r="C71" s="6">
        <v>165587.0</v>
      </c>
      <c r="D71" s="5">
        <v>121.65</v>
      </c>
      <c r="E71" s="10">
        <v>70.3</v>
      </c>
      <c r="F71" s="5">
        <v>3094.0</v>
      </c>
      <c r="G71" s="9">
        <v>0.849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>
      <c r="A72" s="5" t="s">
        <v>12</v>
      </c>
      <c r="B72" s="5">
        <f t="array" ref="B72:B85">SEQUENCE(14,1,2011,1)</f>
        <v>2011</v>
      </c>
      <c r="C72" s="6">
        <v>37916.32</v>
      </c>
      <c r="D72" s="5">
        <v>48.9</v>
      </c>
      <c r="E72" s="10">
        <v>55.6</v>
      </c>
      <c r="F72" s="5">
        <v>3864.0</v>
      </c>
      <c r="G72" s="8">
        <v>0.603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>
      <c r="A73" s="5" t="s">
        <v>12</v>
      </c>
      <c r="B73" s="5">
        <v>2012.0</v>
      </c>
      <c r="C73" s="6">
        <v>38497.0</v>
      </c>
      <c r="D73" s="5">
        <v>53.8</v>
      </c>
      <c r="E73" s="10">
        <v>56.6</v>
      </c>
      <c r="F73" s="5">
        <v>4139.0</v>
      </c>
      <c r="G73" s="8">
        <v>0.607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>
      <c r="A74" s="5" t="s">
        <v>12</v>
      </c>
      <c r="B74" s="5">
        <v>2013.0</v>
      </c>
      <c r="C74" s="6">
        <v>41142.0</v>
      </c>
      <c r="D74" s="5">
        <v>53.55</v>
      </c>
      <c r="E74" s="10">
        <v>58.2</v>
      </c>
      <c r="F74" s="5">
        <v>4427.0</v>
      </c>
      <c r="G74" s="8">
        <v>0.615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>
      <c r="A75" s="5" t="s">
        <v>12</v>
      </c>
      <c r="B75" s="5">
        <v>2014.0</v>
      </c>
      <c r="C75" s="6">
        <v>42548.0</v>
      </c>
      <c r="D75" s="5">
        <v>56.04</v>
      </c>
      <c r="E75" s="10">
        <v>60.4</v>
      </c>
      <c r="F75" s="5">
        <v>4939.0</v>
      </c>
      <c r="G75" s="8">
        <v>0.628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>
      <c r="A76" s="5" t="s">
        <v>12</v>
      </c>
      <c r="B76" s="5">
        <v>2015.0</v>
      </c>
      <c r="C76" s="6">
        <v>44027.0</v>
      </c>
      <c r="D76" s="5">
        <v>60.25</v>
      </c>
      <c r="E76" s="10">
        <v>54.8</v>
      </c>
      <c r="F76" s="5">
        <v>5308.0</v>
      </c>
      <c r="G76" s="8">
        <v>0.637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>
      <c r="A77" s="5" t="s">
        <v>12</v>
      </c>
      <c r="B77" s="5">
        <v>2016.0</v>
      </c>
      <c r="C77" s="6">
        <v>47351.0</v>
      </c>
      <c r="D77" s="5">
        <v>64.23</v>
      </c>
      <c r="E77" s="10">
        <v>61.2</v>
      </c>
      <c r="F77" s="5">
        <v>6237.0</v>
      </c>
      <c r="G77" s="8">
        <v>0.652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>
      <c r="A78" s="5" t="s">
        <v>12</v>
      </c>
      <c r="B78" s="5">
        <v>2017.0</v>
      </c>
      <c r="C78" s="6">
        <v>52782.0</v>
      </c>
      <c r="D78" s="5">
        <v>67.07</v>
      </c>
      <c r="E78" s="10">
        <v>60.9</v>
      </c>
      <c r="F78" s="5">
        <v>6576.0</v>
      </c>
      <c r="G78" s="8">
        <v>0.657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>
      <c r="A79" s="5" t="s">
        <v>12</v>
      </c>
      <c r="B79" s="5">
        <v>2018.0</v>
      </c>
      <c r="C79" s="6">
        <v>54824.0</v>
      </c>
      <c r="D79" s="5">
        <v>67.02</v>
      </c>
      <c r="E79" s="10">
        <v>65.1</v>
      </c>
      <c r="F79" s="5">
        <v>6993.0</v>
      </c>
      <c r="G79" s="8">
        <v>0.653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>
      <c r="A80" s="5" t="s">
        <v>12</v>
      </c>
      <c r="B80" s="5">
        <v>2019.0</v>
      </c>
      <c r="C80" s="6">
        <v>59005.0</v>
      </c>
      <c r="D80" s="5">
        <v>70.11</v>
      </c>
      <c r="E80" s="10">
        <v>67.9</v>
      </c>
      <c r="F80" s="5">
        <v>7605.0</v>
      </c>
      <c r="G80" s="8">
        <v>0.658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>
      <c r="A81" s="5" t="s">
        <v>12</v>
      </c>
      <c r="B81" s="5">
        <v>2020.0</v>
      </c>
      <c r="C81" s="6">
        <v>60452.0</v>
      </c>
      <c r="D81" s="5">
        <v>69.41</v>
      </c>
      <c r="E81" s="10">
        <v>69.2</v>
      </c>
      <c r="F81" s="5">
        <v>7617.0</v>
      </c>
      <c r="G81" s="8">
        <v>0.658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>
      <c r="A82" s="5" t="s">
        <v>12</v>
      </c>
      <c r="B82" s="5">
        <v>2021.0</v>
      </c>
      <c r="C82" s="6">
        <v>56037.0</v>
      </c>
      <c r="D82" s="5">
        <v>69.87</v>
      </c>
      <c r="E82" s="10">
        <v>67.9</v>
      </c>
      <c r="F82" s="5">
        <v>8344.0</v>
      </c>
      <c r="G82" s="8">
        <v>0.654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>
      <c r="A83" s="5" t="s">
        <v>12</v>
      </c>
      <c r="B83" s="5">
        <v>2022.0</v>
      </c>
      <c r="C83" s="6">
        <v>61011.0</v>
      </c>
      <c r="D83" s="5">
        <v>67.35</v>
      </c>
      <c r="E83" s="10">
        <v>67.5</v>
      </c>
      <c r="F83" s="5">
        <v>8646.0</v>
      </c>
      <c r="G83" s="8">
        <v>0.687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>
      <c r="A84" s="5" t="s">
        <v>12</v>
      </c>
      <c r="B84" s="5">
        <v>2023.0</v>
      </c>
      <c r="C84" s="6">
        <v>63681.0</v>
      </c>
      <c r="D84" s="5">
        <v>66.73</v>
      </c>
      <c r="E84" s="10">
        <v>71.8</v>
      </c>
      <c r="F84" s="5">
        <v>923.0</v>
      </c>
      <c r="G84" s="8">
        <v>0.692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>
      <c r="A85" s="5" t="s">
        <v>12</v>
      </c>
      <c r="B85" s="5">
        <v>2024.0</v>
      </c>
      <c r="C85" s="6">
        <v>67301.0</v>
      </c>
      <c r="D85" s="5">
        <v>68.71</v>
      </c>
      <c r="E85" s="10">
        <v>75.8</v>
      </c>
      <c r="F85" s="5">
        <v>9915.0</v>
      </c>
      <c r="G85" s="5">
        <v>0.693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>
      <c r="A86" s="5" t="s">
        <v>13</v>
      </c>
      <c r="B86" s="5">
        <f t="array" ref="B86:B99">SEQUENCE(14,1,2011,1)</f>
        <v>2011</v>
      </c>
      <c r="C86" s="6">
        <v>99582.09</v>
      </c>
      <c r="D86" s="5">
        <v>48.9</v>
      </c>
      <c r="E86" s="10">
        <v>83.0</v>
      </c>
      <c r="F86" s="5">
        <v>10702.0</v>
      </c>
      <c r="G86" s="8">
        <v>0.733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>
      <c r="A87" s="5" t="s">
        <v>13</v>
      </c>
      <c r="B87" s="5">
        <v>2012.0</v>
      </c>
      <c r="C87" s="6">
        <v>99597.0</v>
      </c>
      <c r="D87" s="5">
        <v>53.8</v>
      </c>
      <c r="E87" s="10">
        <v>91.8</v>
      </c>
      <c r="F87" s="5">
        <v>11772.0</v>
      </c>
      <c r="G87" s="8">
        <v>0.738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>
      <c r="A88" s="5" t="s">
        <v>13</v>
      </c>
      <c r="B88" s="5">
        <v>2013.0</v>
      </c>
      <c r="C88" s="6">
        <v>104008.0</v>
      </c>
      <c r="D88" s="5">
        <v>53.55</v>
      </c>
      <c r="E88" s="10">
        <v>89.4</v>
      </c>
      <c r="F88" s="5">
        <v>11997.0</v>
      </c>
      <c r="G88" s="8">
        <v>0.739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>
      <c r="A89" s="5" t="s">
        <v>13</v>
      </c>
      <c r="B89" s="5">
        <v>2014.0</v>
      </c>
      <c r="C89" s="6">
        <v>109597.0</v>
      </c>
      <c r="D89" s="5">
        <v>77.32</v>
      </c>
      <c r="E89" s="10">
        <v>89.8</v>
      </c>
      <c r="F89" s="5">
        <v>12367.0</v>
      </c>
      <c r="G89" s="8">
        <v>0.747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>
      <c r="A90" s="5" t="s">
        <v>13</v>
      </c>
      <c r="B90" s="5">
        <v>2015.0</v>
      </c>
      <c r="C90" s="6">
        <v>115058.0</v>
      </c>
      <c r="D90" s="5">
        <v>80.75</v>
      </c>
      <c r="E90" s="10">
        <v>92.0</v>
      </c>
      <c r="F90" s="5">
        <v>13308.0</v>
      </c>
      <c r="G90" s="8">
        <v>0.75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>
      <c r="A91" s="5" t="s">
        <v>13</v>
      </c>
      <c r="B91" s="5">
        <v>2016.0</v>
      </c>
      <c r="C91" s="6">
        <v>122889.0</v>
      </c>
      <c r="D91" s="5">
        <v>87.06</v>
      </c>
      <c r="E91" s="10">
        <v>102.9</v>
      </c>
      <c r="F91" s="5">
        <v>14136.0</v>
      </c>
      <c r="G91" s="8">
        <v>0.76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>
      <c r="A92" s="5" t="s">
        <v>13</v>
      </c>
      <c r="B92" s="5">
        <v>2017.0</v>
      </c>
      <c r="C92" s="6">
        <v>133686.0</v>
      </c>
      <c r="D92" s="5">
        <v>95.88</v>
      </c>
      <c r="E92" s="10">
        <v>106.0</v>
      </c>
      <c r="F92" s="5">
        <v>13923.0</v>
      </c>
      <c r="G92" s="8">
        <v>0.761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>
      <c r="A93" s="5" t="s">
        <v>13</v>
      </c>
      <c r="B93" s="5">
        <v>2018.0</v>
      </c>
      <c r="C93" s="6">
        <v>137808.0</v>
      </c>
      <c r="D93" s="5">
        <v>95.5</v>
      </c>
      <c r="E93" s="10">
        <v>106.9</v>
      </c>
      <c r="F93" s="5">
        <v>14953.0</v>
      </c>
      <c r="G93" s="8">
        <v>0.751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>
      <c r="A94" s="5" t="s">
        <v>13</v>
      </c>
      <c r="B94" s="5">
        <v>2019.0</v>
      </c>
      <c r="C94" s="6">
        <v>140782.0</v>
      </c>
      <c r="D94" s="5">
        <v>92.83</v>
      </c>
      <c r="E94" s="10">
        <v>105.2</v>
      </c>
      <c r="F94" s="5">
        <v>15816.0</v>
      </c>
      <c r="G94" s="8">
        <v>0.753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>
      <c r="A95" s="5" t="s">
        <v>13</v>
      </c>
      <c r="B95" s="5">
        <v>2020.0</v>
      </c>
      <c r="C95" s="6">
        <v>145626.0</v>
      </c>
      <c r="D95" s="5">
        <v>91.55</v>
      </c>
      <c r="E95" s="10">
        <v>102.0</v>
      </c>
      <c r="F95" s="5">
        <v>15517.0</v>
      </c>
      <c r="G95" s="8">
        <v>0.754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>
      <c r="A96" s="5" t="s">
        <v>13</v>
      </c>
      <c r="B96" s="5">
        <v>2021.0</v>
      </c>
      <c r="C96" s="6">
        <v>127550.0</v>
      </c>
      <c r="D96" s="5">
        <v>95.83</v>
      </c>
      <c r="E96" s="10">
        <v>92.5</v>
      </c>
      <c r="F96" s="5">
        <v>15066.0</v>
      </c>
      <c r="G96" s="8">
        <v>0.75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>
      <c r="A97" s="5" t="s">
        <v>13</v>
      </c>
      <c r="B97" s="5">
        <v>2022.0</v>
      </c>
      <c r="C97" s="6">
        <v>141651.0</v>
      </c>
      <c r="D97" s="5">
        <v>93.35</v>
      </c>
      <c r="E97" s="10">
        <v>91.9</v>
      </c>
      <c r="F97" s="5">
        <v>17281.0</v>
      </c>
      <c r="G97" s="8">
        <v>0.787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>
      <c r="A98" s="5" t="s">
        <v>13</v>
      </c>
      <c r="B98" s="5">
        <v>2023.0</v>
      </c>
      <c r="C98" s="6">
        <v>154979.0</v>
      </c>
      <c r="D98" s="5">
        <v>92.8</v>
      </c>
      <c r="E98" s="10">
        <v>99.6</v>
      </c>
      <c r="F98" s="5">
        <v>18720.0</v>
      </c>
      <c r="G98" s="8">
        <v>0.792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>
      <c r="A99" s="5" t="s">
        <v>13</v>
      </c>
      <c r="B99" s="5">
        <v>2024.0</v>
      </c>
      <c r="C99" s="6">
        <v>166013.0</v>
      </c>
      <c r="D99" s="5">
        <v>95.04</v>
      </c>
      <c r="E99" s="10">
        <v>99.6</v>
      </c>
      <c r="F99" s="5">
        <v>20693.0</v>
      </c>
      <c r="G99" s="9">
        <v>0.78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>
      <c r="A100" s="5" t="s">
        <v>14</v>
      </c>
      <c r="B100" s="5">
        <f t="array" ref="B100:B113">SEQUENCE(14,1,2011,1)</f>
        <v>2011</v>
      </c>
      <c r="C100" s="6">
        <v>46181.81</v>
      </c>
      <c r="D100" s="5">
        <v>56.4</v>
      </c>
      <c r="E100" s="10">
        <v>52.5</v>
      </c>
      <c r="F100" s="11">
        <v>2245.0</v>
      </c>
      <c r="G100" s="8">
        <v>0.605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>
      <c r="A101" s="5" t="s">
        <v>14</v>
      </c>
      <c r="B101" s="5">
        <v>2012.0</v>
      </c>
      <c r="C101" s="6">
        <v>48387.0</v>
      </c>
      <c r="D101" s="5">
        <v>65.8</v>
      </c>
      <c r="E101" s="10">
        <v>47.3</v>
      </c>
      <c r="F101" s="11">
        <v>2269.0</v>
      </c>
      <c r="G101" s="8">
        <v>0.612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>
      <c r="A102" s="5" t="s">
        <v>14</v>
      </c>
      <c r="B102" s="5">
        <v>2013.0</v>
      </c>
      <c r="C102" s="6">
        <v>50769.0</v>
      </c>
      <c r="D102" s="5">
        <v>60.21</v>
      </c>
      <c r="E102" s="10">
        <v>46.3</v>
      </c>
      <c r="F102" s="11">
        <v>2432.0</v>
      </c>
      <c r="G102" s="8">
        <v>0.618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>
      <c r="A103" s="5" t="s">
        <v>14</v>
      </c>
      <c r="B103" s="5">
        <v>2014.0</v>
      </c>
      <c r="C103" s="6">
        <v>54209.0</v>
      </c>
      <c r="D103" s="5">
        <v>60.9</v>
      </c>
      <c r="E103" s="10">
        <v>44.6</v>
      </c>
      <c r="F103" s="11">
        <v>2455.0</v>
      </c>
      <c r="G103" s="8">
        <v>0.631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>
      <c r="A104" s="5" t="s">
        <v>14</v>
      </c>
      <c r="B104" s="5">
        <v>2015.0</v>
      </c>
      <c r="C104" s="6">
        <v>54361.0</v>
      </c>
      <c r="D104" s="5">
        <v>66.85</v>
      </c>
      <c r="E104" s="10">
        <v>41.9</v>
      </c>
      <c r="F104" s="11">
        <v>2605.0</v>
      </c>
      <c r="G104" s="8">
        <v>0.64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>
      <c r="A105" s="5" t="s">
        <v>14</v>
      </c>
      <c r="B105" s="5">
        <v>2016.0</v>
      </c>
      <c r="C105" s="6">
        <v>57806.0</v>
      </c>
      <c r="D105" s="5">
        <v>69.09</v>
      </c>
      <c r="E105" s="10">
        <v>40.8</v>
      </c>
      <c r="F105" s="11">
        <v>2660.0</v>
      </c>
      <c r="G105" s="8">
        <v>0.654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>
      <c r="A106" s="5" t="s">
        <v>14</v>
      </c>
      <c r="B106" s="5">
        <v>2017.0</v>
      </c>
      <c r="C106" s="6">
        <v>66416.0</v>
      </c>
      <c r="D106" s="5">
        <v>80.74</v>
      </c>
      <c r="E106" s="10">
        <v>38.1</v>
      </c>
      <c r="F106" s="11">
        <v>2676.0</v>
      </c>
      <c r="G106" s="8">
        <v>0.658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>
      <c r="A107" s="5" t="s">
        <v>14</v>
      </c>
      <c r="B107" s="5">
        <v>2018.0</v>
      </c>
      <c r="C107" s="6">
        <v>71032.0</v>
      </c>
      <c r="D107" s="5">
        <v>80.28</v>
      </c>
      <c r="E107" s="10">
        <v>37.6</v>
      </c>
      <c r="F107" s="11">
        <v>2871.0</v>
      </c>
      <c r="G107" s="8">
        <v>0.653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>
      <c r="A108" s="5" t="s">
        <v>14</v>
      </c>
      <c r="B108" s="5">
        <v>2019.0</v>
      </c>
      <c r="C108" s="6">
        <v>75421.0</v>
      </c>
      <c r="D108" s="5">
        <v>75.74</v>
      </c>
      <c r="E108" s="10">
        <v>38.7</v>
      </c>
      <c r="F108" s="11">
        <v>3212.0</v>
      </c>
      <c r="G108" s="8">
        <v>0.657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>
      <c r="A109" s="5" t="s">
        <v>14</v>
      </c>
      <c r="B109" s="5">
        <v>2020.0</v>
      </c>
      <c r="C109" s="6">
        <v>76439.0</v>
      </c>
      <c r="D109" s="5">
        <v>76.58</v>
      </c>
      <c r="E109" s="10">
        <v>39.5</v>
      </c>
      <c r="F109" s="11">
        <v>2969.0</v>
      </c>
      <c r="G109" s="8">
        <v>0.657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>
      <c r="A110" s="5" t="s">
        <v>14</v>
      </c>
      <c r="B110" s="5">
        <v>2021.0</v>
      </c>
      <c r="C110" s="6">
        <v>73325.0</v>
      </c>
      <c r="D110" s="5">
        <v>78.46</v>
      </c>
      <c r="E110" s="10">
        <v>39.5</v>
      </c>
      <c r="F110" s="11">
        <v>2985.0</v>
      </c>
      <c r="G110" s="8">
        <v>0.654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>
      <c r="A111" s="5" t="s">
        <v>14</v>
      </c>
      <c r="B111" s="5">
        <v>2022.0</v>
      </c>
      <c r="C111" s="6">
        <v>85516.0</v>
      </c>
      <c r="D111" s="5">
        <v>74.99</v>
      </c>
      <c r="E111" s="10">
        <v>40.8</v>
      </c>
      <c r="F111" s="11">
        <v>3833.0</v>
      </c>
      <c r="G111" s="8">
        <v>0.687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>
      <c r="A112" s="5" t="s">
        <v>14</v>
      </c>
      <c r="B112" s="5">
        <v>2023.0</v>
      </c>
      <c r="C112" s="6">
        <v>84213.0</v>
      </c>
      <c r="D112" s="5">
        <v>75.74</v>
      </c>
      <c r="E112" s="10">
        <v>44.0</v>
      </c>
      <c r="F112" s="11">
        <v>4258.0</v>
      </c>
      <c r="G112" s="8">
        <v>0.691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>
      <c r="A113" s="5" t="s">
        <v>14</v>
      </c>
      <c r="B113" s="5">
        <v>2024.0</v>
      </c>
      <c r="C113" s="6">
        <v>89705.0</v>
      </c>
      <c r="D113" s="5">
        <v>76.97</v>
      </c>
      <c r="E113" s="10">
        <v>48.1</v>
      </c>
      <c r="F113" s="11">
        <v>4133.0</v>
      </c>
      <c r="G113" s="5">
        <v>0.692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>
      <c r="A114" s="5" t="s">
        <v>15</v>
      </c>
      <c r="B114" s="5">
        <f t="array" ref="B114:B127">SEQUENCE(14,1,2011,1)</f>
        <v>2011</v>
      </c>
      <c r="C114" s="6">
        <v>84492.9</v>
      </c>
      <c r="D114" s="5">
        <v>104.1</v>
      </c>
      <c r="E114" s="10">
        <v>77.8</v>
      </c>
      <c r="F114" s="11">
        <v>4180.0</v>
      </c>
      <c r="G114" s="8">
        <v>0.747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>
      <c r="A115" s="5" t="s">
        <v>15</v>
      </c>
      <c r="B115" s="5">
        <v>2012.0</v>
      </c>
      <c r="C115" s="6">
        <v>85577.0</v>
      </c>
      <c r="D115" s="5">
        <v>113.1</v>
      </c>
      <c r="E115" s="10">
        <v>80.9</v>
      </c>
      <c r="F115" s="11">
        <v>4379.0</v>
      </c>
      <c r="G115" s="8">
        <v>0.752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>
      <c r="A116" s="5" t="s">
        <v>15</v>
      </c>
      <c r="B116" s="5">
        <v>2013.0</v>
      </c>
      <c r="C116" s="6">
        <v>88915.0</v>
      </c>
      <c r="D116" s="5">
        <v>103.0</v>
      </c>
      <c r="E116" s="10">
        <v>81.6</v>
      </c>
      <c r="F116" s="11">
        <v>4612.0</v>
      </c>
      <c r="G116" s="8">
        <v>0.757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>
      <c r="A117" s="5" t="s">
        <v>15</v>
      </c>
      <c r="B117" s="5">
        <v>2014.0</v>
      </c>
      <c r="C117" s="6">
        <v>93238.0</v>
      </c>
      <c r="D117" s="5">
        <v>107.22</v>
      </c>
      <c r="E117" s="10">
        <v>79.1</v>
      </c>
      <c r="F117" s="11">
        <v>4708.0</v>
      </c>
      <c r="G117" s="8">
        <v>0.769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>
      <c r="A118" s="5" t="s">
        <v>15</v>
      </c>
      <c r="B118" s="5">
        <v>2015.0</v>
      </c>
      <c r="C118" s="6">
        <v>95807.0</v>
      </c>
      <c r="D118" s="5">
        <v>103.79</v>
      </c>
      <c r="E118" s="10">
        <v>75.1</v>
      </c>
      <c r="F118" s="11">
        <v>4814.0</v>
      </c>
      <c r="G118" s="8">
        <v>0.776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>
      <c r="A119" s="5" t="s">
        <v>15</v>
      </c>
      <c r="B119" s="5">
        <v>2016.0</v>
      </c>
      <c r="C119" s="6">
        <v>100141.0</v>
      </c>
      <c r="D119" s="5">
        <v>106.1</v>
      </c>
      <c r="E119" s="10">
        <v>69.8</v>
      </c>
      <c r="F119" s="11">
        <v>4968.0</v>
      </c>
      <c r="G119" s="8">
        <v>0.789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>
      <c r="A120" s="5" t="s">
        <v>15</v>
      </c>
      <c r="B120" s="5">
        <v>2017.0</v>
      </c>
      <c r="C120" s="6">
        <v>105848.0</v>
      </c>
      <c r="D120" s="5">
        <v>118.28</v>
      </c>
      <c r="E120" s="10">
        <v>69.0</v>
      </c>
      <c r="F120" s="11">
        <v>5310.0</v>
      </c>
      <c r="G120" s="8">
        <v>0.781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>
      <c r="A121" s="5" t="s">
        <v>15</v>
      </c>
      <c r="B121" s="5">
        <v>2018.0</v>
      </c>
      <c r="C121" s="6">
        <v>110857.0</v>
      </c>
      <c r="D121" s="5">
        <v>123.45</v>
      </c>
      <c r="E121" s="10">
        <v>63.5</v>
      </c>
      <c r="F121" s="11">
        <v>5481.0</v>
      </c>
      <c r="G121" s="8">
        <v>0.762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>
      <c r="A122" s="5" t="s">
        <v>15</v>
      </c>
      <c r="B122" s="5">
        <v>2019.0</v>
      </c>
      <c r="C122" s="6">
        <v>115592.0</v>
      </c>
      <c r="D122" s="5">
        <v>125.35</v>
      </c>
      <c r="E122" s="10">
        <v>60.3</v>
      </c>
      <c r="F122" s="11">
        <v>5532.0</v>
      </c>
      <c r="G122" s="8">
        <v>0.755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>
      <c r="A123" s="5" t="s">
        <v>15</v>
      </c>
      <c r="B123" s="5">
        <v>2020.0</v>
      </c>
      <c r="C123" s="6">
        <v>118487.0</v>
      </c>
      <c r="D123" s="5">
        <v>123.52</v>
      </c>
      <c r="E123" s="10">
        <v>57.1</v>
      </c>
      <c r="F123" s="11">
        <v>5677.0</v>
      </c>
      <c r="G123" s="8">
        <v>0.756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>
      <c r="A124" s="5" t="s">
        <v>15</v>
      </c>
      <c r="B124" s="5">
        <v>2021.0</v>
      </c>
      <c r="C124" s="6">
        <v>113025.0</v>
      </c>
      <c r="D124" s="5">
        <v>125.27</v>
      </c>
      <c r="E124" s="10">
        <v>55.0</v>
      </c>
      <c r="F124" s="11">
        <v>5838.0</v>
      </c>
      <c r="G124" s="8">
        <v>0.752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>
      <c r="A125" s="5" t="s">
        <v>15</v>
      </c>
      <c r="B125" s="5">
        <v>2022.0</v>
      </c>
      <c r="C125" s="6">
        <v>118307.0</v>
      </c>
      <c r="D125" s="5">
        <v>118.57</v>
      </c>
      <c r="E125" s="10">
        <v>54.2</v>
      </c>
      <c r="F125" s="11">
        <v>6241.0</v>
      </c>
      <c r="G125" s="8">
        <v>0.789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>
      <c r="A126" s="5" t="s">
        <v>15</v>
      </c>
      <c r="B126" s="5">
        <v>2023.0</v>
      </c>
      <c r="C126" s="6">
        <v>125197.0</v>
      </c>
      <c r="D126" s="5">
        <v>115.32</v>
      </c>
      <c r="E126" s="10">
        <v>53.7</v>
      </c>
      <c r="F126" s="11">
        <v>6922.0</v>
      </c>
      <c r="G126" s="8">
        <v>0.794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>
      <c r="A127" s="5" t="s">
        <v>15</v>
      </c>
      <c r="B127" s="5">
        <v>2024.0</v>
      </c>
      <c r="C127" s="6">
        <v>130758.0</v>
      </c>
      <c r="D127" s="5">
        <v>114.36</v>
      </c>
      <c r="E127" s="10">
        <v>58.3</v>
      </c>
      <c r="F127" s="11">
        <v>6953.0</v>
      </c>
      <c r="G127" s="5">
        <v>0.78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>
      <c r="A128" s="5" t="s">
        <v>16</v>
      </c>
      <c r="B128" s="5">
        <f t="array" ref="B128:B141">SEQUENCE(14,1,2011,1)</f>
        <v>2011</v>
      </c>
      <c r="C128" s="6">
        <v>88517.43</v>
      </c>
      <c r="D128" s="5">
        <v>97.7</v>
      </c>
      <c r="E128" s="10">
        <v>115.1</v>
      </c>
      <c r="F128" s="11">
        <v>7510.0</v>
      </c>
      <c r="G128" s="8">
        <v>0.733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>
      <c r="A129" s="5" t="s">
        <v>16</v>
      </c>
      <c r="B129" s="5">
        <v>2012.0</v>
      </c>
      <c r="C129" s="6">
        <v>93112.0</v>
      </c>
      <c r="D129" s="5">
        <v>116.6</v>
      </c>
      <c r="E129" s="10">
        <v>116.9</v>
      </c>
      <c r="F129" s="11">
        <v>7671.0</v>
      </c>
      <c r="G129" s="8">
        <v>0.739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>
      <c r="A130" s="5" t="s">
        <v>16</v>
      </c>
      <c r="B130" s="5">
        <v>2013.0</v>
      </c>
      <c r="C130" s="6">
        <v>97257.0</v>
      </c>
      <c r="D130" s="5">
        <v>108.17</v>
      </c>
      <c r="E130" s="10">
        <v>123.3</v>
      </c>
      <c r="F130" s="11">
        <v>7616.0</v>
      </c>
      <c r="G130" s="8">
        <v>0.743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>
      <c r="A131" s="5" t="s">
        <v>16</v>
      </c>
      <c r="B131" s="5">
        <v>2014.0</v>
      </c>
      <c r="C131" s="6">
        <v>102191.0</v>
      </c>
      <c r="D131" s="5">
        <v>107.22</v>
      </c>
      <c r="E131" s="10">
        <v>121.8</v>
      </c>
      <c r="F131" s="11">
        <v>8798.0</v>
      </c>
      <c r="G131" s="8">
        <v>0.753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>
      <c r="A132" s="5" t="s">
        <v>16</v>
      </c>
      <c r="B132" s="5">
        <v>2015.0</v>
      </c>
      <c r="C132" s="6">
        <v>107117.0</v>
      </c>
      <c r="D132" s="5">
        <v>103.79</v>
      </c>
      <c r="E132" s="10">
        <v>119.0</v>
      </c>
      <c r="F132" s="11">
        <v>9275.0</v>
      </c>
      <c r="G132" s="8">
        <v>0.759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>
      <c r="A133" s="5" t="s">
        <v>16</v>
      </c>
      <c r="B133" s="5">
        <v>2016.0</v>
      </c>
      <c r="C133" s="6">
        <v>115875.0</v>
      </c>
      <c r="D133" s="5">
        <v>106.1</v>
      </c>
      <c r="E133" s="10">
        <v>113.7</v>
      </c>
      <c r="F133" s="11">
        <v>9659.0</v>
      </c>
      <c r="G133" s="8">
        <v>0.771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>
      <c r="A134" s="5" t="s">
        <v>16</v>
      </c>
      <c r="B134" s="5">
        <v>2017.0</v>
      </c>
      <c r="C134" s="6">
        <v>123206.0</v>
      </c>
      <c r="D134" s="5">
        <v>118.28</v>
      </c>
      <c r="E134" s="10">
        <v>105.8</v>
      </c>
      <c r="F134" s="11">
        <v>10449.0</v>
      </c>
      <c r="G134" s="8">
        <v>0.767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>
      <c r="A135" s="5" t="s">
        <v>16</v>
      </c>
      <c r="B135" s="5">
        <v>2018.0</v>
      </c>
      <c r="C135" s="6">
        <v>133029.0</v>
      </c>
      <c r="D135" s="5">
        <v>123.45</v>
      </c>
      <c r="E135" s="10">
        <v>113.5</v>
      </c>
      <c r="F135" s="11">
        <v>10584.0</v>
      </c>
      <c r="G135" s="8">
        <v>0.752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>
      <c r="A136" s="5" t="s">
        <v>16</v>
      </c>
      <c r="B136" s="5">
        <v>2019.0</v>
      </c>
      <c r="C136" s="6">
        <v>141844.0</v>
      </c>
      <c r="D136" s="5">
        <v>125.35</v>
      </c>
      <c r="E136" s="10">
        <v>110.3</v>
      </c>
      <c r="F136" s="11">
        <v>10938.0</v>
      </c>
      <c r="G136" s="8">
        <v>0.748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>
      <c r="A137" s="5" t="s">
        <v>16</v>
      </c>
      <c r="B137" s="5">
        <v>2020.0</v>
      </c>
      <c r="C137" s="6">
        <v>144845.0</v>
      </c>
      <c r="D137" s="5">
        <v>123.52</v>
      </c>
      <c r="E137" s="10">
        <v>107.5</v>
      </c>
      <c r="F137" s="11">
        <v>10881.0</v>
      </c>
      <c r="G137" s="8">
        <v>0.749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>
      <c r="A138" s="5" t="s">
        <v>16</v>
      </c>
      <c r="B138" s="5">
        <v>2021.0</v>
      </c>
      <c r="C138" s="6">
        <v>143482.0</v>
      </c>
      <c r="D138" s="5">
        <v>125.27</v>
      </c>
      <c r="E138" s="10">
        <v>101.7</v>
      </c>
      <c r="F138" s="11">
        <v>10119.0</v>
      </c>
      <c r="G138" s="8">
        <v>0.745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>
      <c r="A139" s="5" t="s">
        <v>16</v>
      </c>
      <c r="B139" s="5">
        <v>2022.0</v>
      </c>
      <c r="C139" s="6">
        <v>154269.0</v>
      </c>
      <c r="D139" s="5">
        <v>118.57</v>
      </c>
      <c r="E139" s="10">
        <v>100.9</v>
      </c>
      <c r="F139" s="11">
        <v>10980.0</v>
      </c>
      <c r="G139" s="8">
        <v>0.782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>
      <c r="A140" s="5" t="s">
        <v>16</v>
      </c>
      <c r="B140" s="5">
        <v>2023.0</v>
      </c>
      <c r="C140" s="6">
        <v>163205.0</v>
      </c>
      <c r="D140" s="5">
        <v>115.32</v>
      </c>
      <c r="E140" s="10">
        <v>105.8</v>
      </c>
      <c r="F140" s="11">
        <v>11472.0</v>
      </c>
      <c r="G140" s="8">
        <v>0.787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>
      <c r="A141" s="5" t="s">
        <v>16</v>
      </c>
      <c r="B141" s="5">
        <v>2024.0</v>
      </c>
      <c r="C141" s="6">
        <v>178496.0</v>
      </c>
      <c r="D141" s="5">
        <v>114.36</v>
      </c>
      <c r="E141" s="10">
        <v>113.0</v>
      </c>
      <c r="F141" s="11">
        <v>12615.0</v>
      </c>
      <c r="G141" s="9">
        <v>0.775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>
      <c r="A142" s="5" t="s">
        <v>17</v>
      </c>
      <c r="B142" s="5">
        <f t="array" ref="B142:B155">SEQUENCE(14,1,2011,1)</f>
        <v>2011</v>
      </c>
      <c r="C142" s="6">
        <v>31851.74</v>
      </c>
      <c r="D142" s="5">
        <v>53.0</v>
      </c>
      <c r="E142" s="10">
        <v>44.0</v>
      </c>
      <c r="F142" s="11">
        <v>6485.0</v>
      </c>
      <c r="G142" s="8">
        <v>0.599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>
      <c r="A143" s="5" t="s">
        <v>17</v>
      </c>
      <c r="B143" s="5">
        <v>2012.0</v>
      </c>
      <c r="C143" s="6">
        <v>32648.0</v>
      </c>
      <c r="D143" s="5">
        <v>60.9</v>
      </c>
      <c r="E143" s="10">
        <v>44.0</v>
      </c>
      <c r="F143" s="11">
        <v>7212.0</v>
      </c>
      <c r="G143" s="8">
        <v>0.602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>
      <c r="A144" s="5" t="s">
        <v>17</v>
      </c>
      <c r="B144" s="5">
        <v>2013.0</v>
      </c>
      <c r="C144" s="6">
        <v>33596.0</v>
      </c>
      <c r="D144" s="5">
        <v>56.83</v>
      </c>
      <c r="E144" s="10">
        <v>44.1</v>
      </c>
      <c r="F144" s="11">
        <v>7645.0</v>
      </c>
      <c r="G144" s="8">
        <v>0.609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>
      <c r="A145" s="5" t="s">
        <v>17</v>
      </c>
      <c r="B145" s="5">
        <v>2014.0</v>
      </c>
      <c r="C145" s="6">
        <v>34901.0</v>
      </c>
      <c r="D145" s="5">
        <v>57.27</v>
      </c>
      <c r="E145" s="10">
        <v>44.6</v>
      </c>
      <c r="F145" s="11">
        <v>8161.0</v>
      </c>
      <c r="G145" s="8">
        <v>0.621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>
      <c r="A146" s="5" t="s">
        <v>17</v>
      </c>
      <c r="B146" s="5">
        <v>2015.0</v>
      </c>
      <c r="C146" s="6">
        <v>35537.0</v>
      </c>
      <c r="D146" s="5">
        <v>60.51</v>
      </c>
      <c r="E146" s="10">
        <v>45.4</v>
      </c>
      <c r="F146" s="11">
        <v>8706.0</v>
      </c>
      <c r="G146" s="8">
        <v>0.63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>
      <c r="A147" s="5" t="s">
        <v>17</v>
      </c>
      <c r="B147" s="5">
        <v>2016.0</v>
      </c>
      <c r="C147" s="6">
        <v>38184.0</v>
      </c>
      <c r="D147" s="5">
        <v>65.83</v>
      </c>
      <c r="E147" s="10">
        <v>44.6</v>
      </c>
      <c r="F147" s="11">
        <v>9303.0</v>
      </c>
      <c r="G147" s="8">
        <v>0.644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>
      <c r="A148" s="5" t="s">
        <v>17</v>
      </c>
      <c r="B148" s="5">
        <v>2017.0</v>
      </c>
      <c r="C148" s="6">
        <v>42180.0</v>
      </c>
      <c r="D148" s="5">
        <v>74.03</v>
      </c>
      <c r="E148" s="10">
        <v>40.0</v>
      </c>
      <c r="F148" s="11">
        <v>10570.0</v>
      </c>
      <c r="G148" s="8">
        <v>0.652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>
      <c r="A149" s="5" t="s">
        <v>17</v>
      </c>
      <c r="B149" s="5">
        <v>2018.0</v>
      </c>
      <c r="C149" s="6">
        <v>42876.0</v>
      </c>
      <c r="D149" s="5">
        <v>71.36</v>
      </c>
      <c r="E149" s="10">
        <v>41.2</v>
      </c>
      <c r="F149" s="11">
        <v>11830.0</v>
      </c>
      <c r="G149" s="8">
        <v>0.65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>
      <c r="A150" s="5" t="s">
        <v>17</v>
      </c>
      <c r="B150" s="5">
        <v>2019.0</v>
      </c>
      <c r="C150" s="6">
        <v>43454.0</v>
      </c>
      <c r="D150" s="5">
        <v>68.63</v>
      </c>
      <c r="E150" s="10">
        <v>42.7</v>
      </c>
      <c r="F150" s="11">
        <v>11615.0</v>
      </c>
      <c r="G150" s="8">
        <v>0.659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>
      <c r="A151" s="5" t="s">
        <v>17</v>
      </c>
      <c r="B151" s="5">
        <v>2020.0</v>
      </c>
      <c r="C151" s="6">
        <v>44265.0</v>
      </c>
      <c r="D151" s="5">
        <v>66.2</v>
      </c>
      <c r="E151" s="10">
        <v>41.5</v>
      </c>
      <c r="F151" s="11">
        <v>12100.0</v>
      </c>
      <c r="G151" s="8">
        <v>0.659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>
      <c r="A152" s="5" t="s">
        <v>17</v>
      </c>
      <c r="B152" s="5">
        <v>2021.0</v>
      </c>
      <c r="C152" s="6">
        <v>40959.0</v>
      </c>
      <c r="D152" s="5">
        <v>68.09</v>
      </c>
      <c r="E152" s="10">
        <v>41.5</v>
      </c>
      <c r="F152" s="11">
        <v>12338.0</v>
      </c>
      <c r="G152" s="8">
        <v>0.655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>
      <c r="A153" s="5" t="s">
        <v>17</v>
      </c>
      <c r="B153" s="5">
        <v>2022.0</v>
      </c>
      <c r="C153" s="6">
        <v>45294.0</v>
      </c>
      <c r="D153" s="5">
        <v>67.68</v>
      </c>
      <c r="E153" s="10">
        <v>43.9</v>
      </c>
      <c r="F153" s="11">
        <v>12831.0</v>
      </c>
      <c r="G153" s="8">
        <v>0.688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>
      <c r="A154" s="5" t="s">
        <v>17</v>
      </c>
      <c r="B154" s="5">
        <v>2023.0</v>
      </c>
      <c r="C154" s="6">
        <v>48014.0</v>
      </c>
      <c r="D154" s="5">
        <v>66.12</v>
      </c>
      <c r="E154" s="10">
        <v>46.0</v>
      </c>
      <c r="F154" s="11">
        <v>14305.0</v>
      </c>
      <c r="G154" s="8">
        <v>0.693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>
      <c r="A155" s="5" t="s">
        <v>17</v>
      </c>
      <c r="B155" s="5">
        <v>2024.0</v>
      </c>
      <c r="C155" s="6">
        <v>51898.0</v>
      </c>
      <c r="D155" s="5">
        <v>67.03</v>
      </c>
      <c r="E155" s="10">
        <v>49.9</v>
      </c>
      <c r="F155" s="11">
        <v>14829.0</v>
      </c>
      <c r="G155" s="9">
        <v>0.695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>
      <c r="A156" s="5" t="s">
        <v>18</v>
      </c>
      <c r="B156" s="5">
        <f t="array" ref="B156:B169">SEQUENCE(14,1,2011,1)</f>
        <v>2011</v>
      </c>
      <c r="C156" s="6">
        <v>49277.5</v>
      </c>
      <c r="D156" s="5">
        <v>53.4</v>
      </c>
      <c r="E156" s="10">
        <v>63.7</v>
      </c>
      <c r="F156" s="11">
        <v>3585.0</v>
      </c>
      <c r="G156" s="8">
        <v>0.646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>
      <c r="A157" s="5" t="s">
        <v>18</v>
      </c>
      <c r="B157" s="5">
        <v>2012.0</v>
      </c>
      <c r="C157" s="6">
        <v>51543.0</v>
      </c>
      <c r="D157" s="5">
        <v>61.5</v>
      </c>
      <c r="E157" s="10">
        <v>63.8</v>
      </c>
      <c r="F157" s="11">
        <v>3828.0</v>
      </c>
      <c r="G157" s="8">
        <v>0.65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>
      <c r="A158" s="5" t="s">
        <v>18</v>
      </c>
      <c r="B158" s="5">
        <v>2013.0</v>
      </c>
      <c r="C158" s="6">
        <v>53157.0</v>
      </c>
      <c r="D158" s="5">
        <v>54.18</v>
      </c>
      <c r="E158" s="10">
        <v>62.0</v>
      </c>
      <c r="F158" s="11">
        <v>4184.0</v>
      </c>
      <c r="G158" s="8">
        <v>0.657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>
      <c r="A159" s="5" t="s">
        <v>18</v>
      </c>
      <c r="B159" s="5">
        <v>2014.0</v>
      </c>
      <c r="C159" s="6">
        <v>53811.0</v>
      </c>
      <c r="D159" s="5">
        <v>55.13</v>
      </c>
      <c r="E159" s="10">
        <v>61.6</v>
      </c>
      <c r="F159" s="11">
        <v>4276.0</v>
      </c>
      <c r="G159" s="8">
        <v>0.67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>
      <c r="A160" s="5" t="s">
        <v>18</v>
      </c>
      <c r="B160" s="5">
        <v>2015.0</v>
      </c>
      <c r="C160" s="6">
        <v>54520.0</v>
      </c>
      <c r="D160" s="5">
        <v>60.69</v>
      </c>
      <c r="E160" s="10">
        <v>57.8</v>
      </c>
      <c r="F160" s="11">
        <v>4683.0</v>
      </c>
      <c r="G160" s="8">
        <v>0.679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>
      <c r="A161" s="5" t="s">
        <v>18</v>
      </c>
      <c r="B161" s="5">
        <v>2016.0</v>
      </c>
      <c r="C161" s="6">
        <v>57255.0</v>
      </c>
      <c r="D161" s="5">
        <v>63.16</v>
      </c>
      <c r="E161" s="10">
        <v>55.1</v>
      </c>
      <c r="F161" s="11">
        <v>4719.0</v>
      </c>
      <c r="G161" s="8">
        <v>0.694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>
      <c r="A162" s="5" t="s">
        <v>18</v>
      </c>
      <c r="B162" s="5">
        <v>2017.0</v>
      </c>
      <c r="C162" s="6">
        <v>60618.0</v>
      </c>
      <c r="D162" s="5">
        <v>73.59</v>
      </c>
      <c r="E162" s="10">
        <v>50.3</v>
      </c>
      <c r="F162" s="11">
        <v>4781.0</v>
      </c>
      <c r="G162" s="8">
        <v>0.694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>
      <c r="A163" s="5" t="s">
        <v>18</v>
      </c>
      <c r="B163" s="5">
        <v>2018.0</v>
      </c>
      <c r="C163" s="6">
        <v>64007.0</v>
      </c>
      <c r="D163" s="5">
        <v>73.73</v>
      </c>
      <c r="E163" s="10">
        <v>51.1</v>
      </c>
      <c r="F163" s="11">
        <v>5057.0</v>
      </c>
      <c r="G163" s="8">
        <v>0.683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>
      <c r="A164" s="5" t="s">
        <v>18</v>
      </c>
      <c r="B164" s="5">
        <v>2019.0</v>
      </c>
      <c r="C164" s="6">
        <v>68195.0</v>
      </c>
      <c r="D164" s="5">
        <v>71.39</v>
      </c>
      <c r="E164" s="10">
        <v>49.5</v>
      </c>
      <c r="F164" s="11">
        <v>5129.0</v>
      </c>
      <c r="G164" s="8">
        <v>0.684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>
      <c r="A165" s="5" t="s">
        <v>18</v>
      </c>
      <c r="B165" s="5">
        <v>2020.0</v>
      </c>
      <c r="C165" s="6">
        <v>69548.0</v>
      </c>
      <c r="D165" s="5">
        <v>67.8</v>
      </c>
      <c r="E165" s="10">
        <v>49.3</v>
      </c>
      <c r="F165" s="11">
        <v>5282.0</v>
      </c>
      <c r="G165" s="8">
        <v>0.684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>
      <c r="A166" s="5" t="s">
        <v>18</v>
      </c>
      <c r="B166" s="5">
        <v>2021.0</v>
      </c>
      <c r="C166" s="6">
        <v>62852.0</v>
      </c>
      <c r="D166" s="5">
        <v>68.5</v>
      </c>
      <c r="E166" s="10">
        <v>46.5</v>
      </c>
      <c r="F166" s="11">
        <v>5154.0</v>
      </c>
      <c r="G166" s="8">
        <v>0.68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>
      <c r="A167" s="5" t="s">
        <v>18</v>
      </c>
      <c r="B167" s="5">
        <v>2022.0</v>
      </c>
      <c r="C167" s="6">
        <v>70100.0</v>
      </c>
      <c r="D167" s="5">
        <v>68.77</v>
      </c>
      <c r="E167" s="10">
        <v>46.4</v>
      </c>
      <c r="F167" s="11">
        <v>5395.0</v>
      </c>
      <c r="G167" s="8">
        <v>0.714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>
      <c r="A168" s="5" t="s">
        <v>18</v>
      </c>
      <c r="B168" s="5">
        <v>2023.0</v>
      </c>
      <c r="C168" s="6">
        <v>73793.0</v>
      </c>
      <c r="D168" s="5">
        <v>69.35</v>
      </c>
      <c r="E168" s="10">
        <v>47.7</v>
      </c>
      <c r="F168" s="11">
        <v>6027.0</v>
      </c>
      <c r="G168" s="8">
        <v>0.719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>
      <c r="A169" s="5" t="s">
        <v>18</v>
      </c>
      <c r="B169" s="5">
        <v>2024.0</v>
      </c>
      <c r="C169" s="6">
        <v>77933.0</v>
      </c>
      <c r="D169" s="5">
        <v>71.09</v>
      </c>
      <c r="E169" s="10">
        <v>49.5</v>
      </c>
      <c r="F169" s="11">
        <v>6749.0</v>
      </c>
      <c r="G169" s="5">
        <v>0.715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